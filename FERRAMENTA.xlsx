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977e8162bdcda01/TREINAMENTOS/DIO/EXCEL COM IA - SANTANDER/FERRAMENTA DE CONTROLE DE INVESTIMENTO/"/>
    </mc:Choice>
  </mc:AlternateContent>
  <xr:revisionPtr revIDLastSave="492" documentId="11_AD4D361C20488DEA4E38A08AF41A5D845BDEDD8F" xr6:coauthVersionLast="47" xr6:coauthVersionMax="47" xr10:uidLastSave="{A480B141-A90C-4F99-885D-4EDC4945DFDC}"/>
  <bookViews>
    <workbookView xWindow="-120" yWindow="-120" windowWidth="29040" windowHeight="15720" tabRatio="231" xr2:uid="{00000000-000D-0000-FFFF-FFFF00000000}"/>
  </bookViews>
  <sheets>
    <sheet name="APP" sheetId="1" r:id="rId1"/>
    <sheet name="Perfil de investimento" sheetId="2" r:id="rId2"/>
  </sheets>
  <definedNames>
    <definedName name="aporte">APP!$D$16</definedName>
    <definedName name="patrimonio">APP!$D$19</definedName>
    <definedName name="qtd_anos">APP!$D$17</definedName>
    <definedName name="rendimento_carteira">APP!$D$12</definedName>
    <definedName name="salario">APP!$D$11</definedName>
    <definedName name="sugestao_investimento">APP!$D$13</definedName>
    <definedName name="taxa_mensal">APP!$D$18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35" i="1"/>
  <c r="C36" i="1"/>
  <c r="C37" i="1"/>
  <c r="C38" i="1"/>
  <c r="C39" i="1"/>
  <c r="C34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1" i="1"/>
  <c r="D20" i="1"/>
  <c r="D13" i="1"/>
  <c r="C24" i="1"/>
  <c r="D24" i="1" s="1"/>
  <c r="C25" i="1"/>
  <c r="D25" i="1" s="1"/>
  <c r="C26" i="1"/>
  <c r="D26" i="1" s="1"/>
  <c r="C27" i="1"/>
  <c r="D27" i="1" s="1"/>
  <c r="C23" i="1"/>
  <c r="D23" i="1" s="1"/>
  <c r="D39" i="1" l="1"/>
  <c r="D38" i="1"/>
  <c r="D37" i="1"/>
  <c r="D36" i="1"/>
  <c r="D34" i="1"/>
  <c r="D35" i="1"/>
  <c r="D40" i="1"/>
</calcChain>
</file>

<file path=xl/sharedStrings.xml><?xml version="1.0" encoding="utf-8"?>
<sst xmlns="http://schemas.openxmlformats.org/spreadsheetml/2006/main" count="69" uniqueCount="34">
  <si>
    <t>INVESTIMENTO MENSAL</t>
  </si>
  <si>
    <t>Por quantos anos?</t>
  </si>
  <si>
    <t>Taxa de rendimento mensal?</t>
  </si>
  <si>
    <t>Dividendos mensais?</t>
  </si>
  <si>
    <t>Quanto investir por mês?</t>
  </si>
  <si>
    <t>Em 2 anos</t>
  </si>
  <si>
    <t>Em 5 anos</t>
  </si>
  <si>
    <t>Em 10 anos</t>
  </si>
  <si>
    <t>Em 20 anos</t>
  </si>
  <si>
    <t>Em 30 anos</t>
  </si>
  <si>
    <t xml:space="preserve">CENÁRIOS </t>
  </si>
  <si>
    <t>Salário</t>
  </si>
  <si>
    <t>Rendimento Carteira</t>
  </si>
  <si>
    <t>Dividendo</t>
  </si>
  <si>
    <t>CONFIGURAÇÕES</t>
  </si>
  <si>
    <t>Sugestão de investimento (30%)</t>
  </si>
  <si>
    <t>Patrimônio acumulado?</t>
  </si>
  <si>
    <t>Perfil</t>
  </si>
  <si>
    <t>MODERADO</t>
  </si>
  <si>
    <t>AGRESSIVO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</si>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</sst>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Segoe UI"/>
      <family val="2"/>
    </font>
    <font>
      <sz val="12"/>
      <color theme="7" tint="-0.249977111117893"/>
      <name val="Segoe UI"/>
      <family val="2"/>
    </font>
    <font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3" borderId="0" xfId="0" applyFill="1"/>
    <xf numFmtId="0" fontId="0" fillId="0" borderId="0" xfId="0" applyBorder="1"/>
    <xf numFmtId="0" fontId="3" fillId="0" borderId="0" xfId="0" applyFont="1"/>
    <xf numFmtId="0" fontId="2" fillId="3" borderId="0" xfId="0" applyFont="1" applyFill="1"/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6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0" fontId="5" fillId="0" borderId="8" xfId="0" applyNumberFormat="1" applyFont="1" applyBorder="1" applyAlignment="1">
      <alignment horizontal="center"/>
    </xf>
    <xf numFmtId="0" fontId="6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6" fontId="7" fillId="0" borderId="6" xfId="1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0" fontId="7" fillId="0" borderId="8" xfId="2" applyNumberFormat="1" applyFont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8" fontId="7" fillId="3" borderId="8" xfId="0" applyNumberFormat="1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8" fontId="7" fillId="3" borderId="10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5" fillId="3" borderId="5" xfId="0" applyFont="1" applyFill="1" applyBorder="1"/>
    <xf numFmtId="8" fontId="5" fillId="3" borderId="11" xfId="0" applyNumberFormat="1" applyFont="1" applyFill="1" applyBorder="1" applyAlignment="1">
      <alignment horizontal="center"/>
    </xf>
    <xf numFmtId="8" fontId="5" fillId="3" borderId="6" xfId="0" applyNumberFormat="1" applyFont="1" applyFill="1" applyBorder="1" applyAlignment="1">
      <alignment horizontal="center"/>
    </xf>
    <xf numFmtId="0" fontId="5" fillId="3" borderId="7" xfId="0" applyFont="1" applyFill="1" applyBorder="1"/>
    <xf numFmtId="8" fontId="5" fillId="3" borderId="12" xfId="0" applyNumberFormat="1" applyFont="1" applyFill="1" applyBorder="1" applyAlignment="1">
      <alignment horizontal="center"/>
    </xf>
    <xf numFmtId="8" fontId="5" fillId="3" borderId="8" xfId="0" applyNumberFormat="1" applyFont="1" applyFill="1" applyBorder="1" applyAlignment="1">
      <alignment horizontal="center"/>
    </xf>
    <xf numFmtId="0" fontId="5" fillId="3" borderId="9" xfId="0" applyFont="1" applyFill="1" applyBorder="1"/>
    <xf numFmtId="8" fontId="5" fillId="3" borderId="13" xfId="0" applyNumberFormat="1" applyFont="1" applyFill="1" applyBorder="1" applyAlignment="1">
      <alignment horizontal="center"/>
    </xf>
    <xf numFmtId="8" fontId="5" fillId="3" borderId="10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166" fontId="5" fillId="3" borderId="10" xfId="0" applyNumberFormat="1" applyFont="1" applyFill="1" applyBorder="1" applyAlignment="1">
      <alignment horizontal="center"/>
    </xf>
    <xf numFmtId="0" fontId="9" fillId="5" borderId="0" xfId="0" applyFont="1" applyFill="1" applyBorder="1"/>
    <xf numFmtId="0" fontId="10" fillId="5" borderId="0" xfId="0" applyFont="1" applyFill="1"/>
    <xf numFmtId="0" fontId="10" fillId="5" borderId="0" xfId="0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6" borderId="0" xfId="0" applyFill="1"/>
    <xf numFmtId="166" fontId="2" fillId="6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0" fillId="0" borderId="4" xfId="0" applyBorder="1"/>
    <xf numFmtId="9" fontId="0" fillId="0" borderId="4" xfId="0" applyNumberFormat="1" applyBorder="1" applyAlignment="1">
      <alignment horizontal="center"/>
    </xf>
    <xf numFmtId="0" fontId="0" fillId="0" borderId="14" xfId="0" applyBorder="1"/>
    <xf numFmtId="0" fontId="11" fillId="0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Black" panose="020B0004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ptos Black" panose="020F0502020204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1-4B5F-A009-6E9AFDF522ED}"/>
            </c:ext>
          </c:extLst>
        </c:ser>
        <c:ser>
          <c:idx val="1"/>
          <c:order val="1"/>
          <c:tx>
            <c:strRef>
              <c:f>APP!$D$33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APP!$D$34:$D$39</c:f>
              <c:numCache>
                <c:formatCode>"R$"\ #,##0.00</c:formatCode>
                <c:ptCount val="6"/>
                <c:pt idx="0">
                  <c:v>630</c:v>
                </c:pt>
                <c:pt idx="1">
                  <c:v>126</c:v>
                </c:pt>
                <c:pt idx="2">
                  <c:v>63</c:v>
                </c:pt>
                <c:pt idx="3">
                  <c:v>63</c:v>
                </c:pt>
                <c:pt idx="4">
                  <c:v>252</c:v>
                </c:pt>
                <c:pt idx="5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1-4B5F-A009-6E9AFDF522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348607460201979"/>
          <c:y val="0.30006928020923185"/>
          <c:w val="0.28566521361723402"/>
          <c:h val="0.530921232019142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Black" panose="020B0004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0</xdr:row>
      <xdr:rowOff>116320</xdr:rowOff>
    </xdr:from>
    <xdr:to>
      <xdr:col>4</xdr:col>
      <xdr:colOff>2387</xdr:colOff>
      <xdr:row>8</xdr:row>
      <xdr:rowOff>38099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6CEBDA-1313-405F-B64A-6F06B1D93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85750" y="116320"/>
          <a:ext cx="7136612" cy="1445779"/>
        </a:xfrm>
        <a:prstGeom prst="rect">
          <a:avLst/>
        </a:prstGeom>
      </xdr:spPr>
    </xdr:pic>
    <xdr:clientData/>
  </xdr:twoCellAnchor>
  <xdr:twoCellAnchor>
    <xdr:from>
      <xdr:col>0</xdr:col>
      <xdr:colOff>248708</xdr:colOff>
      <xdr:row>40</xdr:row>
      <xdr:rowOff>162983</xdr:rowOff>
    </xdr:from>
    <xdr:to>
      <xdr:col>3</xdr:col>
      <xdr:colOff>1185333</xdr:colOff>
      <xdr:row>59</xdr:row>
      <xdr:rowOff>137583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3A241A-5EF6-A0D0-29D0-95F7FB04D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G67"/>
  <sheetViews>
    <sheetView showGridLines="0" showRowColHeaders="0" tabSelected="1" topLeftCell="A15" zoomScale="90" zoomScaleNormal="90" workbookViewId="0">
      <selection activeCell="F52" sqref="F52"/>
    </sheetView>
  </sheetViews>
  <sheetFormatPr defaultColWidth="0" defaultRowHeight="15" x14ac:dyDescent="0.25"/>
  <cols>
    <col min="1" max="1" width="3.85546875" customWidth="1"/>
    <col min="2" max="2" width="51" customWidth="1"/>
    <col min="3" max="3" width="38.7109375" customWidth="1"/>
    <col min="4" max="4" width="17.7109375" customWidth="1"/>
    <col min="5" max="6" width="2.85546875" customWidth="1"/>
    <col min="7" max="7" width="0" hidden="1" customWidth="1"/>
    <col min="8" max="10" width="9.140625" hidden="1" customWidth="1"/>
    <col min="11" max="16384" width="9.140625" hidden="1"/>
  </cols>
  <sheetData>
    <row r="9" spans="2:4" ht="15.75" thickBot="1" x14ac:dyDescent="0.3"/>
    <row r="10" spans="2:4" ht="30.75" x14ac:dyDescent="0.25">
      <c r="B10" s="5" t="s">
        <v>14</v>
      </c>
      <c r="C10" s="6"/>
      <c r="D10" s="7"/>
    </row>
    <row r="11" spans="2:4" ht="17.25" x14ac:dyDescent="0.3">
      <c r="B11" s="8" t="s">
        <v>11</v>
      </c>
      <c r="C11" s="9"/>
      <c r="D11" s="10">
        <v>4200</v>
      </c>
    </row>
    <row r="12" spans="2:4" ht="17.25" x14ac:dyDescent="0.3">
      <c r="B12" s="11" t="s">
        <v>12</v>
      </c>
      <c r="C12" s="12"/>
      <c r="D12" s="13">
        <v>6.0000000000000001E-3</v>
      </c>
    </row>
    <row r="13" spans="2:4" ht="18" thickBot="1" x14ac:dyDescent="0.35">
      <c r="B13" s="37" t="s">
        <v>15</v>
      </c>
      <c r="C13" s="38"/>
      <c r="D13" s="39">
        <f>D11*30%</f>
        <v>1260</v>
      </c>
    </row>
    <row r="14" spans="2:4" ht="17.25" thickBot="1" x14ac:dyDescent="0.35">
      <c r="B14" s="14"/>
      <c r="C14" s="14"/>
      <c r="D14" s="14"/>
    </row>
    <row r="15" spans="2:4" ht="34.5" customHeight="1" x14ac:dyDescent="0.25">
      <c r="B15" s="15" t="s">
        <v>0</v>
      </c>
      <c r="C15" s="16"/>
      <c r="D15" s="17"/>
    </row>
    <row r="16" spans="2:4" ht="17.25" x14ac:dyDescent="0.3">
      <c r="B16" s="8" t="s">
        <v>4</v>
      </c>
      <c r="C16" s="9"/>
      <c r="D16" s="18">
        <v>1260</v>
      </c>
    </row>
    <row r="17" spans="1:4" ht="17.25" x14ac:dyDescent="0.3">
      <c r="B17" s="11" t="s">
        <v>1</v>
      </c>
      <c r="C17" s="12"/>
      <c r="D17" s="19">
        <v>10</v>
      </c>
    </row>
    <row r="18" spans="1:4" ht="17.25" x14ac:dyDescent="0.3">
      <c r="B18" s="11" t="s">
        <v>2</v>
      </c>
      <c r="C18" s="12"/>
      <c r="D18" s="20">
        <v>1.0789999999999999E-2</v>
      </c>
    </row>
    <row r="19" spans="1:4" ht="17.25" x14ac:dyDescent="0.3">
      <c r="B19" s="21" t="s">
        <v>16</v>
      </c>
      <c r="C19" s="22"/>
      <c r="D19" s="23">
        <f>FV(taxa_mensal,qtd_anos*12,aporte)*-1</f>
        <v>306538.10778801696</v>
      </c>
    </row>
    <row r="20" spans="1:4" ht="18" thickBot="1" x14ac:dyDescent="0.35">
      <c r="B20" s="24" t="s">
        <v>3</v>
      </c>
      <c r="C20" s="25"/>
      <c r="D20" s="26">
        <f>patrimonio*rendimento_carteira</f>
        <v>1839.2286467281017</v>
      </c>
    </row>
    <row r="21" spans="1:4" ht="17.25" thickBot="1" x14ac:dyDescent="0.35">
      <c r="B21" s="14"/>
      <c r="C21" s="14"/>
      <c r="D21" s="14"/>
    </row>
    <row r="22" spans="1:4" ht="30.75" x14ac:dyDescent="0.25">
      <c r="B22" s="15" t="s">
        <v>10</v>
      </c>
      <c r="C22" s="16"/>
      <c r="D22" s="27" t="s">
        <v>13</v>
      </c>
    </row>
    <row r="23" spans="1:4" ht="17.25" x14ac:dyDescent="0.3">
      <c r="A23" s="3">
        <v>2</v>
      </c>
      <c r="B23" s="28" t="s">
        <v>5</v>
      </c>
      <c r="C23" s="29">
        <f>FV($D$18,A23*12,$D$16)*-1</f>
        <v>34306.810395032975</v>
      </c>
      <c r="D23" s="30">
        <f>C23*rendimento_carteira</f>
        <v>205.84086237019787</v>
      </c>
    </row>
    <row r="24" spans="1:4" ht="17.25" x14ac:dyDescent="0.3">
      <c r="A24" s="3">
        <v>5</v>
      </c>
      <c r="B24" s="31" t="s">
        <v>6</v>
      </c>
      <c r="C24" s="32">
        <f>FV($D$18,A24*12,$D$16)*-1</f>
        <v>105558.91163809443</v>
      </c>
      <c r="D24" s="33">
        <f>C24*rendimento_carteira</f>
        <v>633.35346982856663</v>
      </c>
    </row>
    <row r="25" spans="1:4" ht="17.25" x14ac:dyDescent="0.3">
      <c r="A25" s="3">
        <v>10</v>
      </c>
      <c r="B25" s="31" t="s">
        <v>7</v>
      </c>
      <c r="C25" s="32">
        <f>FV($D$18,A25*12,$D$16)*-1</f>
        <v>306538.10778801696</v>
      </c>
      <c r="D25" s="33">
        <f>C25*rendimento_carteira</f>
        <v>1839.2286467281017</v>
      </c>
    </row>
    <row r="26" spans="1:4" ht="17.25" x14ac:dyDescent="0.3">
      <c r="A26" s="3">
        <v>20</v>
      </c>
      <c r="B26" s="31" t="s">
        <v>8</v>
      </c>
      <c r="C26" s="32">
        <f>FV($D$18,A26*12,$D$16)*-1</f>
        <v>1417749.9841223215</v>
      </c>
      <c r="D26" s="33">
        <f>C26*rendimento_carteira</f>
        <v>8506.4999047339297</v>
      </c>
    </row>
    <row r="27" spans="1:4" ht="18" thickBot="1" x14ac:dyDescent="0.35">
      <c r="A27" s="3">
        <v>30</v>
      </c>
      <c r="B27" s="34" t="s">
        <v>9</v>
      </c>
      <c r="C27" s="35">
        <f>FV($D$18,A27*12,$D$16)*-1</f>
        <v>5445933.7653059401</v>
      </c>
      <c r="D27" s="36">
        <f>C27*rendimento_carteira</f>
        <v>32675.602591835643</v>
      </c>
    </row>
    <row r="28" spans="1:4" x14ac:dyDescent="0.25">
      <c r="B28" s="2"/>
      <c r="C28" s="2"/>
      <c r="D28" s="2"/>
    </row>
    <row r="30" spans="1:4" ht="17.25" x14ac:dyDescent="0.3">
      <c r="B30" s="40" t="s">
        <v>17</v>
      </c>
      <c r="C30" s="42" t="s">
        <v>19</v>
      </c>
      <c r="D30" s="41"/>
    </row>
    <row r="31" spans="1:4" x14ac:dyDescent="0.25">
      <c r="B31" s="4" t="s">
        <v>21</v>
      </c>
      <c r="C31" s="43">
        <f>aporte</f>
        <v>1260</v>
      </c>
      <c r="D31" s="1"/>
    </row>
    <row r="33" spans="2:4" x14ac:dyDescent="0.25">
      <c r="B33" s="48" t="s">
        <v>22</v>
      </c>
      <c r="C33" s="48" t="s">
        <v>23</v>
      </c>
      <c r="D33" s="48" t="s">
        <v>24</v>
      </c>
    </row>
    <row r="34" spans="2:4" x14ac:dyDescent="0.25">
      <c r="B34" t="s">
        <v>25</v>
      </c>
      <c r="C34" s="44">
        <f>VLOOKUP($C$30&amp;"-"&amp;B34,'Perfil de investimento'!A:D,4,FALSE)</f>
        <v>0.5</v>
      </c>
      <c r="D34" s="45">
        <f>C34*$C$31</f>
        <v>630</v>
      </c>
    </row>
    <row r="35" spans="2:4" x14ac:dyDescent="0.25">
      <c r="B35" t="s">
        <v>26</v>
      </c>
      <c r="C35" s="44">
        <f>VLOOKUP($C$30&amp;"-"&amp;B35,'Perfil de investimento'!A:D,4,FALSE)</f>
        <v>0.1</v>
      </c>
      <c r="D35" s="45">
        <f t="shared" ref="D35:D39" si="0">C35*$C$31</f>
        <v>126</v>
      </c>
    </row>
    <row r="36" spans="2:4" x14ac:dyDescent="0.25">
      <c r="B36" t="s">
        <v>27</v>
      </c>
      <c r="C36" s="44">
        <f>VLOOKUP($C$30&amp;"-"&amp;B36,'Perfil de investimento'!A:D,4,FALSE)</f>
        <v>0.05</v>
      </c>
      <c r="D36" s="45">
        <f t="shared" si="0"/>
        <v>63</v>
      </c>
    </row>
    <row r="37" spans="2:4" x14ac:dyDescent="0.25">
      <c r="B37" t="s">
        <v>28</v>
      </c>
      <c r="C37" s="44">
        <f>VLOOKUP($C$30&amp;"-"&amp;B37,'Perfil de investimento'!A:D,4,FALSE)</f>
        <v>0.05</v>
      </c>
      <c r="D37" s="45">
        <f t="shared" si="0"/>
        <v>63</v>
      </c>
    </row>
    <row r="38" spans="2:4" x14ac:dyDescent="0.25">
      <c r="B38" t="s">
        <v>29</v>
      </c>
      <c r="C38" s="44">
        <f>VLOOKUP($C$30&amp;"-"&amp;B38,'Perfil de investimento'!A:D,4,FALSE)</f>
        <v>0.2</v>
      </c>
      <c r="D38" s="45">
        <f t="shared" si="0"/>
        <v>252</v>
      </c>
    </row>
    <row r="39" spans="2:4" x14ac:dyDescent="0.25">
      <c r="B39" t="s">
        <v>30</v>
      </c>
      <c r="C39" s="44">
        <f>VLOOKUP($C$30&amp;"-"&amp;B39,'Perfil de investimento'!A:D,4,FALSE)</f>
        <v>0.1</v>
      </c>
      <c r="D39" s="45">
        <f t="shared" si="0"/>
        <v>126</v>
      </c>
    </row>
    <row r="40" spans="2:4" x14ac:dyDescent="0.25">
      <c r="B40" s="46"/>
      <c r="C40" s="46"/>
      <c r="D40" s="47">
        <f>SUM(D34:D39)</f>
        <v>1260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</sheetData>
  <mergeCells count="11">
    <mergeCell ref="B12:C12"/>
    <mergeCell ref="B13:C13"/>
    <mergeCell ref="B10:D10"/>
    <mergeCell ref="B15:D15"/>
    <mergeCell ref="B22:C22"/>
    <mergeCell ref="B16:C16"/>
    <mergeCell ref="B17:C17"/>
    <mergeCell ref="B18:C18"/>
    <mergeCell ref="B19:C19"/>
    <mergeCell ref="B20:C20"/>
    <mergeCell ref="B11:C11"/>
  </mergeCells>
  <dataValidations count="1">
    <dataValidation type="list" allowBlank="1" showInputMessage="1" showErrorMessage="1" sqref="C30" xr:uid="{42E5F8A7-B9EE-4F7C-AB9C-A9B095EF1951}">
      <formula1>"CONSERVADOR,MODERADO,AGRESSIVO"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AAF1-0A64-454E-8943-4F890241392D}">
  <dimension ref="A2:D20"/>
  <sheetViews>
    <sheetView workbookViewId="0">
      <selection activeCell="D13" sqref="D13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</cols>
  <sheetData>
    <row r="2" spans="1:4" ht="15.75" thickBot="1" x14ac:dyDescent="0.3">
      <c r="A2" s="51" t="s">
        <v>33</v>
      </c>
      <c r="B2" s="51" t="s">
        <v>31</v>
      </c>
      <c r="C2" s="52" t="s">
        <v>22</v>
      </c>
      <c r="D2" s="53" t="s">
        <v>32</v>
      </c>
    </row>
    <row r="3" spans="1:4" x14ac:dyDescent="0.25">
      <c r="A3" t="str">
        <f>B3&amp;"-"&amp;C3</f>
        <v>CONSERVADOR-PAPEL</v>
      </c>
      <c r="B3" t="s">
        <v>20</v>
      </c>
      <c r="C3" t="s">
        <v>25</v>
      </c>
      <c r="D3" s="44">
        <v>0.3</v>
      </c>
    </row>
    <row r="4" spans="1:4" x14ac:dyDescent="0.25">
      <c r="A4" t="str">
        <f t="shared" ref="A4:A20" si="0">B4&amp;"-"&amp;C4</f>
        <v>CONSERVADOR-TIJOLO</v>
      </c>
      <c r="B4" t="s">
        <v>20</v>
      </c>
      <c r="C4" t="s">
        <v>26</v>
      </c>
      <c r="D4" s="44">
        <v>0.5</v>
      </c>
    </row>
    <row r="5" spans="1:4" x14ac:dyDescent="0.25">
      <c r="A5" t="str">
        <f t="shared" si="0"/>
        <v>CONSERVADOR-HÍBRIDOS</v>
      </c>
      <c r="B5" t="s">
        <v>20</v>
      </c>
      <c r="C5" t="s">
        <v>27</v>
      </c>
      <c r="D5" s="44">
        <v>0.1</v>
      </c>
    </row>
    <row r="6" spans="1:4" x14ac:dyDescent="0.25">
      <c r="A6" t="str">
        <f t="shared" si="0"/>
        <v>CONSERVADOR-FOFs</v>
      </c>
      <c r="B6" t="s">
        <v>20</v>
      </c>
      <c r="C6" t="s">
        <v>28</v>
      </c>
      <c r="D6" s="44">
        <v>0.1</v>
      </c>
    </row>
    <row r="7" spans="1:4" x14ac:dyDescent="0.25">
      <c r="A7" t="str">
        <f t="shared" si="0"/>
        <v>CONSERVADOR-DESENVOLVIMENTO</v>
      </c>
      <c r="B7" t="s">
        <v>20</v>
      </c>
      <c r="C7" t="s">
        <v>29</v>
      </c>
      <c r="D7" s="44">
        <v>0</v>
      </c>
    </row>
    <row r="8" spans="1:4" ht="15.75" thickBot="1" x14ac:dyDescent="0.3">
      <c r="A8" s="49" t="str">
        <f t="shared" si="0"/>
        <v>CONSERVADOR-HOTELARIAS</v>
      </c>
      <c r="B8" s="49" t="s">
        <v>20</v>
      </c>
      <c r="C8" s="49" t="s">
        <v>30</v>
      </c>
      <c r="D8" s="50">
        <v>0</v>
      </c>
    </row>
    <row r="9" spans="1:4" x14ac:dyDescent="0.25">
      <c r="A9" t="str">
        <f t="shared" si="0"/>
        <v>MODERADO-PAPEL</v>
      </c>
      <c r="B9" t="s">
        <v>18</v>
      </c>
      <c r="C9" t="s">
        <v>25</v>
      </c>
      <c r="D9" s="44">
        <v>0.32</v>
      </c>
    </row>
    <row r="10" spans="1:4" x14ac:dyDescent="0.25">
      <c r="A10" t="str">
        <f t="shared" si="0"/>
        <v>MODERADO-TIJOLO</v>
      </c>
      <c r="B10" t="s">
        <v>18</v>
      </c>
      <c r="C10" t="s">
        <v>26</v>
      </c>
      <c r="D10" s="44">
        <v>0.35</v>
      </c>
    </row>
    <row r="11" spans="1:4" x14ac:dyDescent="0.25">
      <c r="A11" t="str">
        <f t="shared" si="0"/>
        <v>MODERADO-HÍBRIDOS</v>
      </c>
      <c r="B11" t="s">
        <v>18</v>
      </c>
      <c r="C11" t="s">
        <v>27</v>
      </c>
      <c r="D11" s="44">
        <v>0.08</v>
      </c>
    </row>
    <row r="12" spans="1:4" x14ac:dyDescent="0.25">
      <c r="A12" t="str">
        <f t="shared" si="0"/>
        <v>MODERADO-FOFs</v>
      </c>
      <c r="B12" t="s">
        <v>18</v>
      </c>
      <c r="C12" t="s">
        <v>28</v>
      </c>
      <c r="D12" s="44">
        <v>0.05</v>
      </c>
    </row>
    <row r="13" spans="1:4" x14ac:dyDescent="0.25">
      <c r="A13" t="str">
        <f t="shared" si="0"/>
        <v>MODERADO-DESENVOLVIMENTO</v>
      </c>
      <c r="B13" t="s">
        <v>18</v>
      </c>
      <c r="C13" t="s">
        <v>29</v>
      </c>
      <c r="D13" s="44">
        <v>0.1</v>
      </c>
    </row>
    <row r="14" spans="1:4" ht="15.75" thickBot="1" x14ac:dyDescent="0.3">
      <c r="A14" s="49" t="str">
        <f t="shared" si="0"/>
        <v>MODERADO-HOTELARIAS</v>
      </c>
      <c r="B14" s="49" t="s">
        <v>18</v>
      </c>
      <c r="C14" s="49" t="s">
        <v>30</v>
      </c>
      <c r="D14" s="50">
        <v>0.1</v>
      </c>
    </row>
    <row r="15" spans="1:4" x14ac:dyDescent="0.25">
      <c r="A15" t="str">
        <f t="shared" si="0"/>
        <v>AGRESSIVO-PAPEL</v>
      </c>
      <c r="B15" t="s">
        <v>19</v>
      </c>
      <c r="C15" t="s">
        <v>25</v>
      </c>
      <c r="D15" s="44">
        <v>0.5</v>
      </c>
    </row>
    <row r="16" spans="1:4" x14ac:dyDescent="0.25">
      <c r="A16" t="str">
        <f t="shared" si="0"/>
        <v>AGRESSIVO-TIJOLO</v>
      </c>
      <c r="B16" t="s">
        <v>19</v>
      </c>
      <c r="C16" t="s">
        <v>26</v>
      </c>
      <c r="D16" s="44">
        <v>0.1</v>
      </c>
    </row>
    <row r="17" spans="1:4" x14ac:dyDescent="0.25">
      <c r="A17" t="str">
        <f t="shared" si="0"/>
        <v>AGRESSIVO-HÍBRIDOS</v>
      </c>
      <c r="B17" t="s">
        <v>19</v>
      </c>
      <c r="C17" t="s">
        <v>27</v>
      </c>
      <c r="D17" s="44">
        <v>0.05</v>
      </c>
    </row>
    <row r="18" spans="1:4" x14ac:dyDescent="0.25">
      <c r="A18" t="str">
        <f t="shared" si="0"/>
        <v>AGRESSIVO-FOFs</v>
      </c>
      <c r="B18" t="s">
        <v>19</v>
      </c>
      <c r="C18" t="s">
        <v>28</v>
      </c>
      <c r="D18" s="44">
        <v>0.05</v>
      </c>
    </row>
    <row r="19" spans="1:4" x14ac:dyDescent="0.25">
      <c r="A19" t="str">
        <f t="shared" si="0"/>
        <v>AGRESSIVO-DESENVOLVIMENTO</v>
      </c>
      <c r="B19" t="s">
        <v>19</v>
      </c>
      <c r="C19" t="s">
        <v>29</v>
      </c>
      <c r="D19" s="44">
        <v>0.2</v>
      </c>
    </row>
    <row r="20" spans="1:4" x14ac:dyDescent="0.25">
      <c r="A20" t="str">
        <f t="shared" si="0"/>
        <v>AGRESSIVO-HOTELARIAS</v>
      </c>
      <c r="B20" t="s">
        <v>19</v>
      </c>
      <c r="C20" t="s">
        <v>30</v>
      </c>
      <c r="D20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Perfil de investimento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Boiani</dc:creator>
  <cp:lastModifiedBy>Rafael Boiani</cp:lastModifiedBy>
  <dcterms:created xsi:type="dcterms:W3CDTF">2015-06-05T18:19:34Z</dcterms:created>
  <dcterms:modified xsi:type="dcterms:W3CDTF">2025-12-26T23:42:52Z</dcterms:modified>
</cp:coreProperties>
</file>